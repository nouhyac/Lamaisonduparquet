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e coupe" sheetId="1" state="visible" r:id="rId1"/>
    <sheet name="Chiffrage" sheetId="2" state="visible" r:id="rId2"/>
    <sheet name="Hypothè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3" fontId="0" fillId="3" borderId="0" pivotButton="0" quotePrefix="0" xfId="0"/>
    <xf numFmtId="3" fontId="0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0" customWidth="1" min="4" max="4"/>
    <col width="6" customWidth="1" min="5" max="5"/>
    <col width="44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Cuisine sur mesure · liste de coupe (cotes en mm, dimensions de la pièce estimées)</t>
        </is>
      </c>
    </row>
    <row r="3">
      <c r="A3" s="2" t="inlineStr">
        <is>
          <t>Module</t>
        </is>
      </c>
      <c r="B3" s="2" t="inlineStr">
        <is>
          <t>Pièce</t>
        </is>
      </c>
      <c r="C3" s="2" t="inlineStr">
        <is>
          <t>Longueur</t>
        </is>
      </c>
      <c r="D3" s="2" t="inlineStr">
        <is>
          <t>Largeur</t>
        </is>
      </c>
      <c r="E3" s="2" t="inlineStr">
        <is>
          <t>Qté</t>
        </is>
      </c>
      <c r="F3" s="2" t="inlineStr">
        <is>
          <t>Décor</t>
        </is>
      </c>
      <c r="G3" s="2" t="inlineStr">
        <is>
          <t>Chant 2 mm (ml)</t>
        </is>
      </c>
      <c r="H3" s="2" t="inlineStr">
        <is>
          <t>Chant 1 mm (ml)</t>
        </is>
      </c>
      <c r="I3" s="2" t="inlineStr">
        <is>
          <t>Surface (m²)</t>
        </is>
      </c>
    </row>
    <row r="4">
      <c r="A4" t="inlineStr">
        <is>
          <t>C1</t>
        </is>
      </c>
      <c r="B4" t="inlineStr">
        <is>
          <t>Côté</t>
        </is>
      </c>
      <c r="C4" t="n">
        <v>2400</v>
      </c>
      <c r="D4" t="n">
        <v>600</v>
      </c>
      <c r="E4" t="n">
        <v>2</v>
      </c>
      <c r="F4" t="inlineStr">
        <is>
          <t>EGGER W980 ST2 Blanc platine</t>
        </is>
      </c>
      <c r="G4">
        <f>IF(0=1,2*(C4+D4)*E4/1000,0)</f>
        <v/>
      </c>
      <c r="H4">
        <f>IF(1=1,C4*E4/1000,0)</f>
        <v/>
      </c>
      <c r="I4">
        <f>C4*D4*E4/1000000</f>
        <v/>
      </c>
    </row>
    <row r="5">
      <c r="A5" t="inlineStr">
        <is>
          <t>C1</t>
        </is>
      </c>
      <c r="B5" t="inlineStr">
        <is>
          <t>Fond bas</t>
        </is>
      </c>
      <c r="C5" t="n">
        <v>564</v>
      </c>
      <c r="D5" t="n">
        <v>600</v>
      </c>
      <c r="E5" t="n">
        <v>1</v>
      </c>
      <c r="F5" t="inlineStr">
        <is>
          <t>EGGER W980 ST2 Blanc platine</t>
        </is>
      </c>
      <c r="G5">
        <f>IF(0=1,2*(C5+D5)*E5/1000,0)</f>
        <v/>
      </c>
      <c r="H5">
        <f>IF(1=1,C5*E5/1000,0)</f>
        <v/>
      </c>
      <c r="I5">
        <f>C5*D5*E5/1000000</f>
        <v/>
      </c>
    </row>
    <row r="6">
      <c r="A6" t="inlineStr">
        <is>
          <t>C1</t>
        </is>
      </c>
      <c r="B6" t="inlineStr">
        <is>
          <t>Dessus</t>
        </is>
      </c>
      <c r="C6" t="n">
        <v>564</v>
      </c>
      <c r="D6" t="n">
        <v>600</v>
      </c>
      <c r="E6" t="n">
        <v>1</v>
      </c>
      <c r="F6" t="inlineStr">
        <is>
          <t>EGGER W980 ST2 Blanc platine</t>
        </is>
      </c>
      <c r="G6">
        <f>IF(0=1,2*(C6+D6)*E6/1000,0)</f>
        <v/>
      </c>
      <c r="H6">
        <f>IF(1=1,C6*E6/1000,0)</f>
        <v/>
      </c>
      <c r="I6">
        <f>C6*D6*E6/1000000</f>
        <v/>
      </c>
    </row>
    <row r="7">
      <c r="A7" t="inlineStr">
        <is>
          <t>C1</t>
        </is>
      </c>
      <c r="B7" t="inlineStr">
        <is>
          <t>Étagère</t>
        </is>
      </c>
      <c r="C7" t="n">
        <v>562</v>
      </c>
      <c r="D7" t="n">
        <v>580</v>
      </c>
      <c r="E7" t="n">
        <v>1</v>
      </c>
      <c r="F7" t="inlineStr">
        <is>
          <t>EGGER W980 ST2 Blanc platine</t>
        </is>
      </c>
      <c r="G7">
        <f>IF(0=1,2*(C7+D7)*E7/1000,0)</f>
        <v/>
      </c>
      <c r="H7">
        <f>IF(1=1,C7*E7/1000,0)</f>
        <v/>
      </c>
      <c r="I7">
        <f>C7*D7*E7/1000000</f>
        <v/>
      </c>
    </row>
    <row r="8">
      <c r="A8" t="inlineStr">
        <is>
          <t>C1</t>
        </is>
      </c>
      <c r="B8" t="inlineStr">
        <is>
          <t>Fond HDF</t>
        </is>
      </c>
      <c r="C8" t="n">
        <v>2396</v>
      </c>
      <c r="D8" t="n">
        <v>596</v>
      </c>
      <c r="E8" t="n">
        <v>1</v>
      </c>
      <c r="F8" t="inlineStr">
        <is>
          <t>Fond HDF blanc 3 mm</t>
        </is>
      </c>
      <c r="G8">
        <f>IF(0=1,2*(C8+D8)*E8/1000,0)</f>
        <v/>
      </c>
      <c r="H8">
        <f>IF(0=1,C8*E8/1000,0)</f>
        <v/>
      </c>
      <c r="I8">
        <f>C8*D8*E8/1000000</f>
        <v/>
      </c>
    </row>
    <row r="9">
      <c r="A9" t="inlineStr">
        <is>
          <t>C1</t>
        </is>
      </c>
      <c r="B9" t="inlineStr">
        <is>
          <t>Façade tiroir</t>
        </is>
      </c>
      <c r="C9" t="n">
        <v>597</v>
      </c>
      <c r="D9" t="n">
        <v>445</v>
      </c>
      <c r="E9" t="n">
        <v>2</v>
      </c>
      <c r="F9" t="inlineStr">
        <is>
          <t>EGGER H1145 ST10 Chêne Bardolino naturel</t>
        </is>
      </c>
      <c r="G9">
        <f>IF(1=1,2*(C9+D9)*E9/1000,0)</f>
        <v/>
      </c>
      <c r="H9">
        <f>IF(0=1,C9*E9/1000,0)</f>
        <v/>
      </c>
      <c r="I9">
        <f>C9*D9*E9/1000000</f>
        <v/>
      </c>
    </row>
    <row r="10">
      <c r="A10" t="inlineStr">
        <is>
          <t>C1</t>
        </is>
      </c>
      <c r="B10" t="inlineStr">
        <is>
          <t>Fond de tiroir</t>
        </is>
      </c>
      <c r="C10" t="n">
        <v>524</v>
      </c>
      <c r="D10" t="n">
        <v>540</v>
      </c>
      <c r="E10" t="n">
        <v>2</v>
      </c>
      <c r="F10" t="inlineStr">
        <is>
          <t>EGGER W980 ST2 Blanc platine</t>
        </is>
      </c>
      <c r="G10">
        <f>IF(0=1,2*(C10+D10)*E10/1000,0)</f>
        <v/>
      </c>
      <c r="H10">
        <f>IF(0=1,C10*E10/1000,0)</f>
        <v/>
      </c>
      <c r="I10">
        <f>C10*D10*E10/1000000</f>
        <v/>
      </c>
    </row>
    <row r="11">
      <c r="A11" t="inlineStr">
        <is>
          <t>C1</t>
        </is>
      </c>
      <c r="B11" t="inlineStr">
        <is>
          <t>Arrière de tiroir</t>
        </is>
      </c>
      <c r="C11" t="n">
        <v>514</v>
      </c>
      <c r="D11" t="n">
        <v>150</v>
      </c>
      <c r="E11" t="n">
        <v>2</v>
      </c>
      <c r="F11" t="inlineStr">
        <is>
          <t>EGGER W980 ST2 Blanc platine</t>
        </is>
      </c>
      <c r="G11">
        <f>IF(0=1,2*(C11+D11)*E11/1000,0)</f>
        <v/>
      </c>
      <c r="H11">
        <f>IF(1=1,C11*E11/1000,0)</f>
        <v/>
      </c>
      <c r="I11">
        <f>C11*D11*E11/1000000</f>
        <v/>
      </c>
    </row>
    <row r="12">
      <c r="A12" t="inlineStr">
        <is>
          <t>C1</t>
        </is>
      </c>
      <c r="B12" t="inlineStr">
        <is>
          <t>Porte haute</t>
        </is>
      </c>
      <c r="C12" t="n">
        <v>597</v>
      </c>
      <c r="D12" t="n">
        <v>897</v>
      </c>
      <c r="E12" t="n">
        <v>1</v>
      </c>
      <c r="F12" t="inlineStr">
        <is>
          <t>EGGER H1145 ST10 Chêne Bardolino naturel</t>
        </is>
      </c>
      <c r="G12">
        <f>IF(1=1,2*(C12+D12)*E12/1000,0)</f>
        <v/>
      </c>
      <c r="H12">
        <f>IF(0=1,C12*E12/1000,0)</f>
        <v/>
      </c>
      <c r="I12">
        <f>C12*D12*E12/1000000</f>
        <v/>
      </c>
    </row>
    <row r="13">
      <c r="A13" t="inlineStr">
        <is>
          <t>C2</t>
        </is>
      </c>
      <c r="B13" t="inlineStr">
        <is>
          <t>Côté</t>
        </is>
      </c>
      <c r="C13" t="n">
        <v>2400</v>
      </c>
      <c r="D13" t="n">
        <v>600</v>
      </c>
      <c r="E13" t="n">
        <v>2</v>
      </c>
      <c r="F13" t="inlineStr">
        <is>
          <t>EGGER W980 ST2 Blanc platine</t>
        </is>
      </c>
      <c r="G13">
        <f>IF(0=1,2*(C13+D13)*E13/1000,0)</f>
        <v/>
      </c>
      <c r="H13">
        <f>IF(1=1,C13*E13/1000,0)</f>
        <v/>
      </c>
      <c r="I13">
        <f>C13*D13*E13/1000000</f>
        <v/>
      </c>
    </row>
    <row r="14">
      <c r="A14" t="inlineStr">
        <is>
          <t>C2</t>
        </is>
      </c>
      <c r="B14" t="inlineStr">
        <is>
          <t>Fond bas</t>
        </is>
      </c>
      <c r="C14" t="n">
        <v>564</v>
      </c>
      <c r="D14" t="n">
        <v>600</v>
      </c>
      <c r="E14" t="n">
        <v>1</v>
      </c>
      <c r="F14" t="inlineStr">
        <is>
          <t>EGGER W980 ST2 Blanc platine</t>
        </is>
      </c>
      <c r="G14">
        <f>IF(0=1,2*(C14+D14)*E14/1000,0)</f>
        <v/>
      </c>
      <c r="H14">
        <f>IF(1=1,C14*E14/1000,0)</f>
        <v/>
      </c>
      <c r="I14">
        <f>C14*D14*E14/1000000</f>
        <v/>
      </c>
    </row>
    <row r="15">
      <c r="A15" t="inlineStr">
        <is>
          <t>C2</t>
        </is>
      </c>
      <c r="B15" t="inlineStr">
        <is>
          <t>Dessus</t>
        </is>
      </c>
      <c r="C15" t="n">
        <v>564</v>
      </c>
      <c r="D15" t="n">
        <v>600</v>
      </c>
      <c r="E15" t="n">
        <v>1</v>
      </c>
      <c r="F15" t="inlineStr">
        <is>
          <t>EGGER W980 ST2 Blanc platine</t>
        </is>
      </c>
      <c r="G15">
        <f>IF(0=1,2*(C15+D15)*E15/1000,0)</f>
        <v/>
      </c>
      <c r="H15">
        <f>IF(1=1,C15*E15/1000,0)</f>
        <v/>
      </c>
      <c r="I15">
        <f>C15*D15*E15/1000000</f>
        <v/>
      </c>
    </row>
    <row r="16">
      <c r="A16" t="inlineStr">
        <is>
          <t>C2</t>
        </is>
      </c>
      <c r="B16" t="inlineStr">
        <is>
          <t>Étagère</t>
        </is>
      </c>
      <c r="C16" t="n">
        <v>562</v>
      </c>
      <c r="D16" t="n">
        <v>580</v>
      </c>
      <c r="E16" t="n">
        <v>5</v>
      </c>
      <c r="F16" t="inlineStr">
        <is>
          <t>EGGER W980 ST2 Blanc platine</t>
        </is>
      </c>
      <c r="G16">
        <f>IF(0=1,2*(C16+D16)*E16/1000,0)</f>
        <v/>
      </c>
      <c r="H16">
        <f>IF(1=1,C16*E16/1000,0)</f>
        <v/>
      </c>
      <c r="I16">
        <f>C16*D16*E16/1000000</f>
        <v/>
      </c>
    </row>
    <row r="17">
      <c r="A17" t="inlineStr">
        <is>
          <t>C2</t>
        </is>
      </c>
      <c r="B17" t="inlineStr">
        <is>
          <t>Fond HDF</t>
        </is>
      </c>
      <c r="C17" t="n">
        <v>2396</v>
      </c>
      <c r="D17" t="n">
        <v>596</v>
      </c>
      <c r="E17" t="n">
        <v>1</v>
      </c>
      <c r="F17" t="inlineStr">
        <is>
          <t>Fond HDF blanc 3 mm</t>
        </is>
      </c>
      <c r="G17">
        <f>IF(0=1,2*(C17+D17)*E17/1000,0)</f>
        <v/>
      </c>
      <c r="H17">
        <f>IF(0=1,C17*E17/1000,0)</f>
        <v/>
      </c>
      <c r="I17">
        <f>C17*D17*E17/1000000</f>
        <v/>
      </c>
    </row>
    <row r="18">
      <c r="A18" t="inlineStr">
        <is>
          <t>C2</t>
        </is>
      </c>
      <c r="B18" t="inlineStr">
        <is>
          <t>Porte</t>
        </is>
      </c>
      <c r="C18" t="n">
        <v>297</v>
      </c>
      <c r="D18" t="n">
        <v>2397</v>
      </c>
      <c r="E18" t="n">
        <v>2</v>
      </c>
      <c r="F18" t="inlineStr">
        <is>
          <t>EGGER H1145 ST10 Chêne Bardolino naturel</t>
        </is>
      </c>
      <c r="G18">
        <f>IF(1=1,2*(C18+D18)*E18/1000,0)</f>
        <v/>
      </c>
      <c r="H18">
        <f>IF(0=1,C18*E18/1000,0)</f>
        <v/>
      </c>
      <c r="I18">
        <f>C18*D18*E18/1000000</f>
        <v/>
      </c>
    </row>
    <row r="19">
      <c r="A19" t="inlineStr">
        <is>
          <t>C3</t>
        </is>
      </c>
      <c r="B19" t="inlineStr">
        <is>
          <t>Côté</t>
        </is>
      </c>
      <c r="C19" t="n">
        <v>2400</v>
      </c>
      <c r="D19" t="n">
        <v>600</v>
      </c>
      <c r="E19" t="n">
        <v>2</v>
      </c>
      <c r="F19" t="inlineStr">
        <is>
          <t>EGGER U999 PM Noir mat PerfectSense</t>
        </is>
      </c>
      <c r="G19">
        <f>IF(0=1,2*(C19+D19)*E19/1000,0)</f>
        <v/>
      </c>
      <c r="H19">
        <f>IF(1=1,C19*E19/1000,0)</f>
        <v/>
      </c>
      <c r="I19">
        <f>C19*D19*E19/1000000</f>
        <v/>
      </c>
    </row>
    <row r="20">
      <c r="A20" t="inlineStr">
        <is>
          <t>C3</t>
        </is>
      </c>
      <c r="B20" t="inlineStr">
        <is>
          <t>Fond bas</t>
        </is>
      </c>
      <c r="C20" t="n">
        <v>564</v>
      </c>
      <c r="D20" t="n">
        <v>600</v>
      </c>
      <c r="E20" t="n">
        <v>1</v>
      </c>
      <c r="F20" t="inlineStr">
        <is>
          <t>EGGER U999 PM Noir mat PerfectSense</t>
        </is>
      </c>
      <c r="G20">
        <f>IF(0=1,2*(C20+D20)*E20/1000,0)</f>
        <v/>
      </c>
      <c r="H20">
        <f>IF(1=1,C20*E20/1000,0)</f>
        <v/>
      </c>
      <c r="I20">
        <f>C20*D20*E20/1000000</f>
        <v/>
      </c>
    </row>
    <row r="21">
      <c r="A21" t="inlineStr">
        <is>
          <t>C3</t>
        </is>
      </c>
      <c r="B21" t="inlineStr">
        <is>
          <t>Dessus</t>
        </is>
      </c>
      <c r="C21" t="n">
        <v>564</v>
      </c>
      <c r="D21" t="n">
        <v>600</v>
      </c>
      <c r="E21" t="n">
        <v>1</v>
      </c>
      <c r="F21" t="inlineStr">
        <is>
          <t>EGGER U999 PM Noir mat PerfectSense</t>
        </is>
      </c>
      <c r="G21">
        <f>IF(0=1,2*(C21+D21)*E21/1000,0)</f>
        <v/>
      </c>
      <c r="H21">
        <f>IF(1=1,C21*E21/1000,0)</f>
        <v/>
      </c>
      <c r="I21">
        <f>C21*D21*E21/1000000</f>
        <v/>
      </c>
    </row>
    <row r="22">
      <c r="A22" t="inlineStr">
        <is>
          <t>C3</t>
        </is>
      </c>
      <c r="B22" t="inlineStr">
        <is>
          <t>Étagère</t>
        </is>
      </c>
      <c r="C22" t="n">
        <v>562</v>
      </c>
      <c r="D22" t="n">
        <v>580</v>
      </c>
      <c r="E22" t="n">
        <v>2</v>
      </c>
      <c r="F22" t="inlineStr">
        <is>
          <t>EGGER U999 PM Noir mat PerfectSense</t>
        </is>
      </c>
      <c r="G22">
        <f>IF(0=1,2*(C22+D22)*E22/1000,0)</f>
        <v/>
      </c>
      <c r="H22">
        <f>IF(1=1,C22*E22/1000,0)</f>
        <v/>
      </c>
      <c r="I22">
        <f>C22*D22*E22/1000000</f>
        <v/>
      </c>
    </row>
    <row r="23">
      <c r="A23" t="inlineStr">
        <is>
          <t>C3</t>
        </is>
      </c>
      <c r="B23" t="inlineStr">
        <is>
          <t>Fond HDF</t>
        </is>
      </c>
      <c r="C23" t="n">
        <v>2396</v>
      </c>
      <c r="D23" t="n">
        <v>596</v>
      </c>
      <c r="E23" t="n">
        <v>1</v>
      </c>
      <c r="F23" t="inlineStr">
        <is>
          <t>Fond HDF blanc 3 mm</t>
        </is>
      </c>
      <c r="G23">
        <f>IF(0=1,2*(C23+D23)*E23/1000,0)</f>
        <v/>
      </c>
      <c r="H23">
        <f>IF(0=1,C23*E23/1000,0)</f>
        <v/>
      </c>
      <c r="I23">
        <f>C23*D23*E23/1000000</f>
        <v/>
      </c>
    </row>
    <row r="24">
      <c r="A24" t="inlineStr">
        <is>
          <t>C3</t>
        </is>
      </c>
      <c r="B24" t="inlineStr">
        <is>
          <t>Porte basse</t>
        </is>
      </c>
      <c r="C24" t="n">
        <v>597</v>
      </c>
      <c r="D24" t="n">
        <v>897</v>
      </c>
      <c r="E24" t="n">
        <v>1</v>
      </c>
      <c r="F24" t="inlineStr">
        <is>
          <t>EGGER H1145 ST10 Chêne Bardolino naturel</t>
        </is>
      </c>
      <c r="G24">
        <f>IF(1=1,2*(C24+D24)*E24/1000,0)</f>
        <v/>
      </c>
      <c r="H24">
        <f>IF(0=1,C24*E24/1000,0)</f>
        <v/>
      </c>
      <c r="I24">
        <f>C24*D24*E24/1000000</f>
        <v/>
      </c>
    </row>
    <row r="25">
      <c r="A25" t="inlineStr">
        <is>
          <t>C3</t>
        </is>
      </c>
      <c r="B25" t="inlineStr">
        <is>
          <t>Porte haute</t>
        </is>
      </c>
      <c r="C25" t="n">
        <v>597</v>
      </c>
      <c r="D25" t="n">
        <v>897</v>
      </c>
      <c r="E25" t="n">
        <v>1</v>
      </c>
      <c r="F25" t="inlineStr">
        <is>
          <t>EGGER H1145 ST10 Chêne Bardolino naturel</t>
        </is>
      </c>
      <c r="G25">
        <f>IF(1=1,2*(C25+D25)*E25/1000,0)</f>
        <v/>
      </c>
      <c r="H25">
        <f>IF(0=1,C25*E25/1000,0)</f>
        <v/>
      </c>
      <c r="I25">
        <f>C25*D25*E25/1000000</f>
        <v/>
      </c>
    </row>
    <row r="26">
      <c r="A26" t="inlineStr">
        <is>
          <t>C4</t>
        </is>
      </c>
      <c r="B26" t="inlineStr">
        <is>
          <t>Côté</t>
        </is>
      </c>
      <c r="C26" t="n">
        <v>2400</v>
      </c>
      <c r="D26" t="n">
        <v>600</v>
      </c>
      <c r="E26" t="n">
        <v>2</v>
      </c>
      <c r="F26" t="inlineStr">
        <is>
          <t>EGGER W980 ST2 Blanc platine</t>
        </is>
      </c>
      <c r="G26">
        <f>IF(0=1,2*(C26+D26)*E26/1000,0)</f>
        <v/>
      </c>
      <c r="H26">
        <f>IF(1=1,C26*E26/1000,0)</f>
        <v/>
      </c>
      <c r="I26">
        <f>C26*D26*E26/1000000</f>
        <v/>
      </c>
    </row>
    <row r="27">
      <c r="A27" t="inlineStr">
        <is>
          <t>C4</t>
        </is>
      </c>
      <c r="B27" t="inlineStr">
        <is>
          <t>Fond bas</t>
        </is>
      </c>
      <c r="C27" t="n">
        <v>264</v>
      </c>
      <c r="D27" t="n">
        <v>600</v>
      </c>
      <c r="E27" t="n">
        <v>1</v>
      </c>
      <c r="F27" t="inlineStr">
        <is>
          <t>EGGER W980 ST2 Blanc platine</t>
        </is>
      </c>
      <c r="G27">
        <f>IF(0=1,2*(C27+D27)*E27/1000,0)</f>
        <v/>
      </c>
      <c r="H27">
        <f>IF(1=1,C27*E27/1000,0)</f>
        <v/>
      </c>
      <c r="I27">
        <f>C27*D27*E27/1000000</f>
        <v/>
      </c>
    </row>
    <row r="28">
      <c r="A28" t="inlineStr">
        <is>
          <t>C4</t>
        </is>
      </c>
      <c r="B28" t="inlineStr">
        <is>
          <t>Dessus</t>
        </is>
      </c>
      <c r="C28" t="n">
        <v>264</v>
      </c>
      <c r="D28" t="n">
        <v>600</v>
      </c>
      <c r="E28" t="n">
        <v>1</v>
      </c>
      <c r="F28" t="inlineStr">
        <is>
          <t>EGGER W980 ST2 Blanc platine</t>
        </is>
      </c>
      <c r="G28">
        <f>IF(0=1,2*(C28+D28)*E28/1000,0)</f>
        <v/>
      </c>
      <c r="H28">
        <f>IF(1=1,C28*E28/1000,0)</f>
        <v/>
      </c>
      <c r="I28">
        <f>C28*D28*E28/1000000</f>
        <v/>
      </c>
    </row>
    <row r="29">
      <c r="A29" t="inlineStr">
        <is>
          <t>C4</t>
        </is>
      </c>
      <c r="B29" t="inlineStr">
        <is>
          <t>Étagère</t>
        </is>
      </c>
      <c r="C29" t="n">
        <v>262</v>
      </c>
      <c r="D29" t="n">
        <v>580</v>
      </c>
      <c r="E29" t="n">
        <v>6</v>
      </c>
      <c r="F29" t="inlineStr">
        <is>
          <t>EGGER W980 ST2 Blanc platine</t>
        </is>
      </c>
      <c r="G29">
        <f>IF(0=1,2*(C29+D29)*E29/1000,0)</f>
        <v/>
      </c>
      <c r="H29">
        <f>IF(1=1,C29*E29/1000,0)</f>
        <v/>
      </c>
      <c r="I29">
        <f>C29*D29*E29/1000000</f>
        <v/>
      </c>
    </row>
    <row r="30">
      <c r="A30" t="inlineStr">
        <is>
          <t>C4</t>
        </is>
      </c>
      <c r="B30" t="inlineStr">
        <is>
          <t>Fond HDF</t>
        </is>
      </c>
      <c r="C30" t="n">
        <v>2396</v>
      </c>
      <c r="D30" t="n">
        <v>296</v>
      </c>
      <c r="E30" t="n">
        <v>1</v>
      </c>
      <c r="F30" t="inlineStr">
        <is>
          <t>Fond HDF blanc 3 mm</t>
        </is>
      </c>
      <c r="G30">
        <f>IF(0=1,2*(C30+D30)*E30/1000,0)</f>
        <v/>
      </c>
      <c r="H30">
        <f>IF(0=1,C30*E30/1000,0)</f>
        <v/>
      </c>
      <c r="I30">
        <f>C30*D30*E30/1000000</f>
        <v/>
      </c>
    </row>
    <row r="31">
      <c r="A31" t="inlineStr">
        <is>
          <t>C4</t>
        </is>
      </c>
      <c r="B31" t="inlineStr">
        <is>
          <t>Façade</t>
        </is>
      </c>
      <c r="C31" t="n">
        <v>297</v>
      </c>
      <c r="D31" t="n">
        <v>2397</v>
      </c>
      <c r="E31" t="n">
        <v>1</v>
      </c>
      <c r="F31" t="inlineStr">
        <is>
          <t>EGGER H1145 ST10 Chêne Bardolino naturel</t>
        </is>
      </c>
      <c r="G31">
        <f>IF(1=1,2*(C31+D31)*E31/1000,0)</f>
        <v/>
      </c>
      <c r="H31">
        <f>IF(0=1,C31*E31/1000,0)</f>
        <v/>
      </c>
      <c r="I31">
        <f>C31*D31*E31/1000000</f>
        <v/>
      </c>
    </row>
    <row r="32">
      <c r="A32" t="inlineStr">
        <is>
          <t>B1</t>
        </is>
      </c>
      <c r="B32" t="inlineStr">
        <is>
          <t>Côté</t>
        </is>
      </c>
      <c r="C32" t="n">
        <v>720</v>
      </c>
      <c r="D32" t="n">
        <v>560</v>
      </c>
      <c r="E32" t="n">
        <v>2</v>
      </c>
      <c r="F32" t="inlineStr">
        <is>
          <t>EGGER W980 ST2 Blanc platine</t>
        </is>
      </c>
      <c r="G32">
        <f>IF(0=1,2*(C32+D32)*E32/1000,0)</f>
        <v/>
      </c>
      <c r="H32">
        <f>IF(1=1,C32*E32/1000,0)</f>
        <v/>
      </c>
      <c r="I32">
        <f>C32*D32*E32/1000000</f>
        <v/>
      </c>
    </row>
    <row r="33">
      <c r="A33" t="inlineStr">
        <is>
          <t>B1</t>
        </is>
      </c>
      <c r="B33" t="inlineStr">
        <is>
          <t>Fond bas</t>
        </is>
      </c>
      <c r="C33" t="n">
        <v>964</v>
      </c>
      <c r="D33" t="n">
        <v>560</v>
      </c>
      <c r="E33" t="n">
        <v>1</v>
      </c>
      <c r="F33" t="inlineStr">
        <is>
          <t>EGGER W980 ST2 Blanc platine</t>
        </is>
      </c>
      <c r="G33">
        <f>IF(0=1,2*(C33+D33)*E33/1000,0)</f>
        <v/>
      </c>
      <c r="H33">
        <f>IF(1=1,C33*E33/1000,0)</f>
        <v/>
      </c>
      <c r="I33">
        <f>C33*D33*E33/1000000</f>
        <v/>
      </c>
    </row>
    <row r="34">
      <c r="A34" t="inlineStr">
        <is>
          <t>B1</t>
        </is>
      </c>
      <c r="B34" t="inlineStr">
        <is>
          <t>Traverse haute</t>
        </is>
      </c>
      <c r="C34" t="n">
        <v>964</v>
      </c>
      <c r="D34" t="n">
        <v>100</v>
      </c>
      <c r="E34" t="n">
        <v>2</v>
      </c>
      <c r="F34" t="inlineStr">
        <is>
          <t>EGGER W980 ST2 Blanc platine</t>
        </is>
      </c>
      <c r="G34">
        <f>IF(0=1,2*(C34+D34)*E34/1000,0)</f>
        <v/>
      </c>
      <c r="H34">
        <f>IF(1=1,C34*E34/1000,0)</f>
        <v/>
      </c>
      <c r="I34">
        <f>C34*D34*E34/1000000</f>
        <v/>
      </c>
    </row>
    <row r="35">
      <c r="A35" t="inlineStr">
        <is>
          <t>B1</t>
        </is>
      </c>
      <c r="B35" t="inlineStr">
        <is>
          <t>Fond HDF</t>
        </is>
      </c>
      <c r="C35" t="n">
        <v>716</v>
      </c>
      <c r="D35" t="n">
        <v>996</v>
      </c>
      <c r="E35" t="n">
        <v>1</v>
      </c>
      <c r="F35" t="inlineStr">
        <is>
          <t>Fond HDF blanc 3 mm</t>
        </is>
      </c>
      <c r="G35">
        <f>IF(0=1,2*(C35+D35)*E35/1000,0)</f>
        <v/>
      </c>
      <c r="H35">
        <f>IF(0=1,C35*E35/1000,0)</f>
        <v/>
      </c>
      <c r="I35">
        <f>C35*D35*E35/1000000</f>
        <v/>
      </c>
    </row>
    <row r="36">
      <c r="A36" t="inlineStr">
        <is>
          <t>B1</t>
        </is>
      </c>
      <c r="B36" t="inlineStr">
        <is>
          <t>Porte</t>
        </is>
      </c>
      <c r="C36" t="n">
        <v>497</v>
      </c>
      <c r="D36" t="n">
        <v>717</v>
      </c>
      <c r="E36" t="n">
        <v>2</v>
      </c>
      <c r="F36" t="inlineStr">
        <is>
          <t>EGGER U999 PM Noir mat PerfectSense</t>
        </is>
      </c>
      <c r="G36">
        <f>IF(1=1,2*(C36+D36)*E36/1000,0)</f>
        <v/>
      </c>
      <c r="H36">
        <f>IF(0=1,C36*E36/1000,0)</f>
        <v/>
      </c>
      <c r="I36">
        <f>C36*D36*E36/1000000</f>
        <v/>
      </c>
    </row>
    <row r="37">
      <c r="A37" t="inlineStr">
        <is>
          <t>B2</t>
        </is>
      </c>
      <c r="B37" t="inlineStr">
        <is>
          <t>Côté</t>
        </is>
      </c>
      <c r="C37" t="n">
        <v>720</v>
      </c>
      <c r="D37" t="n">
        <v>560</v>
      </c>
      <c r="E37" t="n">
        <v>2</v>
      </c>
      <c r="F37" t="inlineStr">
        <is>
          <t>EGGER W980 ST2 Blanc platine</t>
        </is>
      </c>
      <c r="G37">
        <f>IF(0=1,2*(C37+D37)*E37/1000,0)</f>
        <v/>
      </c>
      <c r="H37">
        <f>IF(1=1,C37*E37/1000,0)</f>
        <v/>
      </c>
      <c r="I37">
        <f>C37*D37*E37/1000000</f>
        <v/>
      </c>
    </row>
    <row r="38">
      <c r="A38" t="inlineStr">
        <is>
          <t>B2</t>
        </is>
      </c>
      <c r="B38" t="inlineStr">
        <is>
          <t>Fond bas</t>
        </is>
      </c>
      <c r="C38" t="n">
        <v>564</v>
      </c>
      <c r="D38" t="n">
        <v>560</v>
      </c>
      <c r="E38" t="n">
        <v>1</v>
      </c>
      <c r="F38" t="inlineStr">
        <is>
          <t>EGGER W980 ST2 Blanc platine</t>
        </is>
      </c>
      <c r="G38">
        <f>IF(0=1,2*(C38+D38)*E38/1000,0)</f>
        <v/>
      </c>
      <c r="H38">
        <f>IF(1=1,C38*E38/1000,0)</f>
        <v/>
      </c>
      <c r="I38">
        <f>C38*D38*E38/1000000</f>
        <v/>
      </c>
    </row>
    <row r="39">
      <c r="A39" t="inlineStr">
        <is>
          <t>B2</t>
        </is>
      </c>
      <c r="B39" t="inlineStr">
        <is>
          <t>Traverse haute</t>
        </is>
      </c>
      <c r="C39" t="n">
        <v>564</v>
      </c>
      <c r="D39" t="n">
        <v>100</v>
      </c>
      <c r="E39" t="n">
        <v>2</v>
      </c>
      <c r="F39" t="inlineStr">
        <is>
          <t>EGGER W980 ST2 Blanc platine</t>
        </is>
      </c>
      <c r="G39">
        <f>IF(0=1,2*(C39+D39)*E39/1000,0)</f>
        <v/>
      </c>
      <c r="H39">
        <f>IF(1=1,C39*E39/1000,0)</f>
        <v/>
      </c>
      <c r="I39">
        <f>C39*D39*E39/1000000</f>
        <v/>
      </c>
    </row>
    <row r="40">
      <c r="A40" t="inlineStr">
        <is>
          <t>B2</t>
        </is>
      </c>
      <c r="B40" t="inlineStr">
        <is>
          <t>Fond HDF</t>
        </is>
      </c>
      <c r="C40" t="n">
        <v>716</v>
      </c>
      <c r="D40" t="n">
        <v>596</v>
      </c>
      <c r="E40" t="n">
        <v>1</v>
      </c>
      <c r="F40" t="inlineStr">
        <is>
          <t>Fond HDF blanc 3 mm</t>
        </is>
      </c>
      <c r="G40">
        <f>IF(0=1,2*(C40+D40)*E40/1000,0)</f>
        <v/>
      </c>
      <c r="H40">
        <f>IF(0=1,C40*E40/1000,0)</f>
        <v/>
      </c>
      <c r="I40">
        <f>C40*D40*E40/1000000</f>
        <v/>
      </c>
    </row>
    <row r="41">
      <c r="A41" t="inlineStr">
        <is>
          <t>B2</t>
        </is>
      </c>
      <c r="B41" t="inlineStr">
        <is>
          <t>Façade</t>
        </is>
      </c>
      <c r="C41" t="n">
        <v>597</v>
      </c>
      <c r="D41" t="n">
        <v>717</v>
      </c>
      <c r="E41" t="n">
        <v>1</v>
      </c>
      <c r="F41" t="inlineStr">
        <is>
          <t>EGGER U999 PM Noir mat PerfectSense</t>
        </is>
      </c>
      <c r="G41">
        <f>IF(1=1,2*(C41+D41)*E41/1000,0)</f>
        <v/>
      </c>
      <c r="H41">
        <f>IF(0=1,C41*E41/1000,0)</f>
        <v/>
      </c>
      <c r="I41">
        <f>C41*D41*E41/1000000</f>
        <v/>
      </c>
    </row>
    <row r="42">
      <c r="A42" t="inlineStr">
        <is>
          <t>B3</t>
        </is>
      </c>
      <c r="B42" t="inlineStr">
        <is>
          <t>Côté</t>
        </is>
      </c>
      <c r="C42" t="n">
        <v>720</v>
      </c>
      <c r="D42" t="n">
        <v>560</v>
      </c>
      <c r="E42" t="n">
        <v>2</v>
      </c>
      <c r="F42" t="inlineStr">
        <is>
          <t>EGGER W980 ST2 Blanc platine</t>
        </is>
      </c>
      <c r="G42">
        <f>IF(0=1,2*(C42+D42)*E42/1000,0)</f>
        <v/>
      </c>
      <c r="H42">
        <f>IF(1=1,C42*E42/1000,0)</f>
        <v/>
      </c>
      <c r="I42">
        <f>C42*D42*E42/1000000</f>
        <v/>
      </c>
    </row>
    <row r="43">
      <c r="A43" t="inlineStr">
        <is>
          <t>B3</t>
        </is>
      </c>
      <c r="B43" t="inlineStr">
        <is>
          <t>Fond bas</t>
        </is>
      </c>
      <c r="C43" t="n">
        <v>564</v>
      </c>
      <c r="D43" t="n">
        <v>560</v>
      </c>
      <c r="E43" t="n">
        <v>1</v>
      </c>
      <c r="F43" t="inlineStr">
        <is>
          <t>EGGER W980 ST2 Blanc platine</t>
        </is>
      </c>
      <c r="G43">
        <f>IF(0=1,2*(C43+D43)*E43/1000,0)</f>
        <v/>
      </c>
      <c r="H43">
        <f>IF(1=1,C43*E43/1000,0)</f>
        <v/>
      </c>
      <c r="I43">
        <f>C43*D43*E43/1000000</f>
        <v/>
      </c>
    </row>
    <row r="44">
      <c r="A44" t="inlineStr">
        <is>
          <t>B3</t>
        </is>
      </c>
      <c r="B44" t="inlineStr">
        <is>
          <t>Traverse haute</t>
        </is>
      </c>
      <c r="C44" t="n">
        <v>564</v>
      </c>
      <c r="D44" t="n">
        <v>100</v>
      </c>
      <c r="E44" t="n">
        <v>2</v>
      </c>
      <c r="F44" t="inlineStr">
        <is>
          <t>EGGER W980 ST2 Blanc platine</t>
        </is>
      </c>
      <c r="G44">
        <f>IF(0=1,2*(C44+D44)*E44/1000,0)</f>
        <v/>
      </c>
      <c r="H44">
        <f>IF(1=1,C44*E44/1000,0)</f>
        <v/>
      </c>
      <c r="I44">
        <f>C44*D44*E44/1000000</f>
        <v/>
      </c>
    </row>
    <row r="45">
      <c r="A45" t="inlineStr">
        <is>
          <t>B3</t>
        </is>
      </c>
      <c r="B45" t="inlineStr">
        <is>
          <t>Fond HDF</t>
        </is>
      </c>
      <c r="C45" t="n">
        <v>716</v>
      </c>
      <c r="D45" t="n">
        <v>596</v>
      </c>
      <c r="E45" t="n">
        <v>1</v>
      </c>
      <c r="F45" t="inlineStr">
        <is>
          <t>Fond HDF blanc 3 mm</t>
        </is>
      </c>
      <c r="G45">
        <f>IF(0=1,2*(C45+D45)*E45/1000,0)</f>
        <v/>
      </c>
      <c r="H45">
        <f>IF(0=1,C45*E45/1000,0)</f>
        <v/>
      </c>
      <c r="I45">
        <f>C45*D45*E45/1000000</f>
        <v/>
      </c>
    </row>
    <row r="46">
      <c r="A46" t="inlineStr">
        <is>
          <t>B3</t>
        </is>
      </c>
      <c r="B46" t="inlineStr">
        <is>
          <t>Façade tiroir</t>
        </is>
      </c>
      <c r="C46" t="n">
        <v>597</v>
      </c>
      <c r="D46" t="n">
        <v>236</v>
      </c>
      <c r="E46" t="n">
        <v>3</v>
      </c>
      <c r="F46" t="inlineStr">
        <is>
          <t>EGGER U999 PM Noir mat PerfectSense</t>
        </is>
      </c>
      <c r="G46">
        <f>IF(1=1,2*(C46+D46)*E46/1000,0)</f>
        <v/>
      </c>
      <c r="H46">
        <f>IF(0=1,C46*E46/1000,0)</f>
        <v/>
      </c>
      <c r="I46">
        <f>C46*D46*E46/1000000</f>
        <v/>
      </c>
    </row>
    <row r="47">
      <c r="A47" t="inlineStr">
        <is>
          <t>B3</t>
        </is>
      </c>
      <c r="B47" t="inlineStr">
        <is>
          <t>Fond de tiroir</t>
        </is>
      </c>
      <c r="C47" t="n">
        <v>524</v>
      </c>
      <c r="D47" t="n">
        <v>500</v>
      </c>
      <c r="E47" t="n">
        <v>3</v>
      </c>
      <c r="F47" t="inlineStr">
        <is>
          <t>EGGER W980 ST2 Blanc platine</t>
        </is>
      </c>
      <c r="G47">
        <f>IF(0=1,2*(C47+D47)*E47/1000,0)</f>
        <v/>
      </c>
      <c r="H47">
        <f>IF(0=1,C47*E47/1000,0)</f>
        <v/>
      </c>
      <c r="I47">
        <f>C47*D47*E47/1000000</f>
        <v/>
      </c>
    </row>
    <row r="48">
      <c r="A48" t="inlineStr">
        <is>
          <t>B3</t>
        </is>
      </c>
      <c r="B48" t="inlineStr">
        <is>
          <t>Arrière de tiroir</t>
        </is>
      </c>
      <c r="C48" t="n">
        <v>514</v>
      </c>
      <c r="D48" t="n">
        <v>150</v>
      </c>
      <c r="E48" t="n">
        <v>3</v>
      </c>
      <c r="F48" t="inlineStr">
        <is>
          <t>EGGER W980 ST2 Blanc platine</t>
        </is>
      </c>
      <c r="G48">
        <f>IF(0=1,2*(C48+D48)*E48/1000,0)</f>
        <v/>
      </c>
      <c r="H48">
        <f>IF(1=1,C48*E48/1000,0)</f>
        <v/>
      </c>
      <c r="I48">
        <f>C48*D48*E48/1000000</f>
        <v/>
      </c>
    </row>
    <row r="49">
      <c r="A49" t="inlineStr">
        <is>
          <t>B4</t>
        </is>
      </c>
      <c r="B49" t="inlineStr">
        <is>
          <t>Côté</t>
        </is>
      </c>
      <c r="C49" t="n">
        <v>720</v>
      </c>
      <c r="D49" t="n">
        <v>560</v>
      </c>
      <c r="E49" t="n">
        <v>2</v>
      </c>
      <c r="F49" t="inlineStr">
        <is>
          <t>EGGER W980 ST2 Blanc platine</t>
        </is>
      </c>
      <c r="G49">
        <f>IF(0=1,2*(C49+D49)*E49/1000,0)</f>
        <v/>
      </c>
      <c r="H49">
        <f>IF(1=1,C49*E49/1000,0)</f>
        <v/>
      </c>
      <c r="I49">
        <f>C49*D49*E49/1000000</f>
        <v/>
      </c>
    </row>
    <row r="50">
      <c r="A50" t="inlineStr">
        <is>
          <t>B4</t>
        </is>
      </c>
      <c r="B50" t="inlineStr">
        <is>
          <t>Fond bas</t>
        </is>
      </c>
      <c r="C50" t="n">
        <v>564</v>
      </c>
      <c r="D50" t="n">
        <v>560</v>
      </c>
      <c r="E50" t="n">
        <v>1</v>
      </c>
      <c r="F50" t="inlineStr">
        <is>
          <t>EGGER W980 ST2 Blanc platine</t>
        </is>
      </c>
      <c r="G50">
        <f>IF(0=1,2*(C50+D50)*E50/1000,0)</f>
        <v/>
      </c>
      <c r="H50">
        <f>IF(1=1,C50*E50/1000,0)</f>
        <v/>
      </c>
      <c r="I50">
        <f>C50*D50*E50/1000000</f>
        <v/>
      </c>
    </row>
    <row r="51">
      <c r="A51" t="inlineStr">
        <is>
          <t>B4</t>
        </is>
      </c>
      <c r="B51" t="inlineStr">
        <is>
          <t>Traverse haute</t>
        </is>
      </c>
      <c r="C51" t="n">
        <v>564</v>
      </c>
      <c r="D51" t="n">
        <v>100</v>
      </c>
      <c r="E51" t="n">
        <v>2</v>
      </c>
      <c r="F51" t="inlineStr">
        <is>
          <t>EGGER W980 ST2 Blanc platine</t>
        </is>
      </c>
      <c r="G51">
        <f>IF(0=1,2*(C51+D51)*E51/1000,0)</f>
        <v/>
      </c>
      <c r="H51">
        <f>IF(1=1,C51*E51/1000,0)</f>
        <v/>
      </c>
      <c r="I51">
        <f>C51*D51*E51/1000000</f>
        <v/>
      </c>
    </row>
    <row r="52">
      <c r="A52" t="inlineStr">
        <is>
          <t>B4</t>
        </is>
      </c>
      <c r="B52" t="inlineStr">
        <is>
          <t>Fond HDF</t>
        </is>
      </c>
      <c r="C52" t="n">
        <v>716</v>
      </c>
      <c r="D52" t="n">
        <v>596</v>
      </c>
      <c r="E52" t="n">
        <v>1</v>
      </c>
      <c r="F52" t="inlineStr">
        <is>
          <t>Fond HDF blanc 3 mm</t>
        </is>
      </c>
      <c r="G52">
        <f>IF(0=1,2*(C52+D52)*E52/1000,0)</f>
        <v/>
      </c>
      <c r="H52">
        <f>IF(0=1,C52*E52/1000,0)</f>
        <v/>
      </c>
      <c r="I52">
        <f>C52*D52*E52/1000000</f>
        <v/>
      </c>
    </row>
    <row r="53">
      <c r="A53" t="inlineStr">
        <is>
          <t>B4</t>
        </is>
      </c>
      <c r="B53" t="inlineStr">
        <is>
          <t>Façade tiroir</t>
        </is>
      </c>
      <c r="C53" t="n">
        <v>597</v>
      </c>
      <c r="D53" t="n">
        <v>355</v>
      </c>
      <c r="E53" t="n">
        <v>2</v>
      </c>
      <c r="F53" t="inlineStr">
        <is>
          <t>EGGER U999 PM Noir mat PerfectSense</t>
        </is>
      </c>
      <c r="G53">
        <f>IF(1=1,2*(C53+D53)*E53/1000,0)</f>
        <v/>
      </c>
      <c r="H53">
        <f>IF(0=1,C53*E53/1000,0)</f>
        <v/>
      </c>
      <c r="I53">
        <f>C53*D53*E53/1000000</f>
        <v/>
      </c>
    </row>
    <row r="54">
      <c r="A54" t="inlineStr">
        <is>
          <t>B4</t>
        </is>
      </c>
      <c r="B54" t="inlineStr">
        <is>
          <t>Fond de tiroir</t>
        </is>
      </c>
      <c r="C54" t="n">
        <v>524</v>
      </c>
      <c r="D54" t="n">
        <v>500</v>
      </c>
      <c r="E54" t="n">
        <v>2</v>
      </c>
      <c r="F54" t="inlineStr">
        <is>
          <t>EGGER W980 ST2 Blanc platine</t>
        </is>
      </c>
      <c r="G54">
        <f>IF(0=1,2*(C54+D54)*E54/1000,0)</f>
        <v/>
      </c>
      <c r="H54">
        <f>IF(0=1,C54*E54/1000,0)</f>
        <v/>
      </c>
      <c r="I54">
        <f>C54*D54*E54/1000000</f>
        <v/>
      </c>
    </row>
    <row r="55">
      <c r="A55" t="inlineStr">
        <is>
          <t>B4</t>
        </is>
      </c>
      <c r="B55" t="inlineStr">
        <is>
          <t>Arrière de tiroir</t>
        </is>
      </c>
      <c r="C55" t="n">
        <v>514</v>
      </c>
      <c r="D55" t="n">
        <v>150</v>
      </c>
      <c r="E55" t="n">
        <v>2</v>
      </c>
      <c r="F55" t="inlineStr">
        <is>
          <t>EGGER W980 ST2 Blanc platine</t>
        </is>
      </c>
      <c r="G55">
        <f>IF(0=1,2*(C55+D55)*E55/1000,0)</f>
        <v/>
      </c>
      <c r="H55">
        <f>IF(1=1,C55*E55/1000,0)</f>
        <v/>
      </c>
      <c r="I55">
        <f>C55*D55*E55/1000000</f>
        <v/>
      </c>
    </row>
    <row r="56">
      <c r="A56" t="inlineStr">
        <is>
          <t>H0</t>
        </is>
      </c>
      <c r="B56" t="inlineStr">
        <is>
          <t>Côté</t>
        </is>
      </c>
      <c r="C56" t="n">
        <v>900</v>
      </c>
      <c r="D56" t="n">
        <v>350</v>
      </c>
      <c r="E56" t="n">
        <v>2</v>
      </c>
      <c r="F56" t="inlineStr">
        <is>
          <t>EGGER U999 PM Noir mat PerfectSense</t>
        </is>
      </c>
      <c r="G56">
        <f>IF(0=1,2*(C56+D56)*E56/1000,0)</f>
        <v/>
      </c>
      <c r="H56">
        <f>IF(1=1,C56*E56/1000,0)</f>
        <v/>
      </c>
      <c r="I56">
        <f>C56*D56*E56/1000000</f>
        <v/>
      </c>
    </row>
    <row r="57">
      <c r="A57" t="inlineStr">
        <is>
          <t>H0</t>
        </is>
      </c>
      <c r="B57" t="inlineStr">
        <is>
          <t>Fond bas</t>
        </is>
      </c>
      <c r="C57" t="n">
        <v>464</v>
      </c>
      <c r="D57" t="n">
        <v>350</v>
      </c>
      <c r="E57" t="n">
        <v>1</v>
      </c>
      <c r="F57" t="inlineStr">
        <is>
          <t>EGGER U999 PM Noir mat PerfectSense</t>
        </is>
      </c>
      <c r="G57">
        <f>IF(0=1,2*(C57+D57)*E57/1000,0)</f>
        <v/>
      </c>
      <c r="H57">
        <f>IF(1=1,C57*E57/1000,0)</f>
        <v/>
      </c>
      <c r="I57">
        <f>C57*D57*E57/1000000</f>
        <v/>
      </c>
    </row>
    <row r="58">
      <c r="A58" t="inlineStr">
        <is>
          <t>H0</t>
        </is>
      </c>
      <c r="B58" t="inlineStr">
        <is>
          <t>Dessus</t>
        </is>
      </c>
      <c r="C58" t="n">
        <v>464</v>
      </c>
      <c r="D58" t="n">
        <v>350</v>
      </c>
      <c r="E58" t="n">
        <v>1</v>
      </c>
      <c r="F58" t="inlineStr">
        <is>
          <t>EGGER U999 PM Noir mat PerfectSense</t>
        </is>
      </c>
      <c r="G58">
        <f>IF(0=1,2*(C58+D58)*E58/1000,0)</f>
        <v/>
      </c>
      <c r="H58">
        <f>IF(1=1,C58*E58/1000,0)</f>
        <v/>
      </c>
      <c r="I58">
        <f>C58*D58*E58/1000000</f>
        <v/>
      </c>
    </row>
    <row r="59">
      <c r="A59" t="inlineStr">
        <is>
          <t>H0</t>
        </is>
      </c>
      <c r="B59" t="inlineStr">
        <is>
          <t>Fond HDF</t>
        </is>
      </c>
      <c r="C59" t="n">
        <v>896</v>
      </c>
      <c r="D59" t="n">
        <v>496</v>
      </c>
      <c r="E59" t="n">
        <v>1</v>
      </c>
      <c r="F59" t="inlineStr">
        <is>
          <t>Fond HDF blanc 3 mm</t>
        </is>
      </c>
      <c r="G59">
        <f>IF(0=1,2*(C59+D59)*E59/1000,0)</f>
        <v/>
      </c>
      <c r="H59">
        <f>IF(0=1,C59*E59/1000,0)</f>
        <v/>
      </c>
      <c r="I59">
        <f>C59*D59*E59/1000000</f>
        <v/>
      </c>
    </row>
    <row r="60">
      <c r="A60" t="inlineStr">
        <is>
          <t>H0</t>
        </is>
      </c>
      <c r="B60" t="inlineStr">
        <is>
          <t>Façade</t>
        </is>
      </c>
      <c r="C60" t="n">
        <v>497</v>
      </c>
      <c r="D60" t="n">
        <v>897</v>
      </c>
      <c r="E60" t="n">
        <v>1</v>
      </c>
      <c r="F60" t="inlineStr">
        <is>
          <t>EGGER U999 PM Noir mat PerfectSense</t>
        </is>
      </c>
      <c r="G60">
        <f>IF(1=1,2*(C60+D60)*E60/1000,0)</f>
        <v/>
      </c>
      <c r="H60">
        <f>IF(0=1,C60*E60/1000,0)</f>
        <v/>
      </c>
      <c r="I60">
        <f>C60*D60*E60/1000000</f>
        <v/>
      </c>
    </row>
    <row r="61">
      <c r="A61" t="inlineStr">
        <is>
          <t>H1</t>
        </is>
      </c>
      <c r="B61" t="inlineStr">
        <is>
          <t>Côté</t>
        </is>
      </c>
      <c r="C61" t="n">
        <v>720</v>
      </c>
      <c r="D61" t="n">
        <v>350</v>
      </c>
      <c r="E61" t="n">
        <v>2</v>
      </c>
      <c r="F61" t="inlineStr">
        <is>
          <t>EGGER W980 ST2 Blanc platine</t>
        </is>
      </c>
      <c r="G61">
        <f>IF(0=1,2*(C61+D61)*E61/1000,0)</f>
        <v/>
      </c>
      <c r="H61">
        <f>IF(1=1,C61*E61/1000,0)</f>
        <v/>
      </c>
      <c r="I61">
        <f>C61*D61*E61/1000000</f>
        <v/>
      </c>
    </row>
    <row r="62">
      <c r="A62" t="inlineStr">
        <is>
          <t>H1</t>
        </is>
      </c>
      <c r="B62" t="inlineStr">
        <is>
          <t>Fond bas</t>
        </is>
      </c>
      <c r="C62" t="n">
        <v>764</v>
      </c>
      <c r="D62" t="n">
        <v>350</v>
      </c>
      <c r="E62" t="n">
        <v>1</v>
      </c>
      <c r="F62" t="inlineStr">
        <is>
          <t>EGGER W980 ST2 Blanc platine</t>
        </is>
      </c>
      <c r="G62">
        <f>IF(0=1,2*(C62+D62)*E62/1000,0)</f>
        <v/>
      </c>
      <c r="H62">
        <f>IF(1=1,C62*E62/1000,0)</f>
        <v/>
      </c>
      <c r="I62">
        <f>C62*D62*E62/1000000</f>
        <v/>
      </c>
    </row>
    <row r="63">
      <c r="A63" t="inlineStr">
        <is>
          <t>H1</t>
        </is>
      </c>
      <c r="B63" t="inlineStr">
        <is>
          <t>Dessus</t>
        </is>
      </c>
      <c r="C63" t="n">
        <v>764</v>
      </c>
      <c r="D63" t="n">
        <v>350</v>
      </c>
      <c r="E63" t="n">
        <v>1</v>
      </c>
      <c r="F63" t="inlineStr">
        <is>
          <t>EGGER W980 ST2 Blanc platine</t>
        </is>
      </c>
      <c r="G63">
        <f>IF(0=1,2*(C63+D63)*E63/1000,0)</f>
        <v/>
      </c>
      <c r="H63">
        <f>IF(1=1,C63*E63/1000,0)</f>
        <v/>
      </c>
      <c r="I63">
        <f>C63*D63*E63/1000000</f>
        <v/>
      </c>
    </row>
    <row r="64">
      <c r="A64" t="inlineStr">
        <is>
          <t>H1</t>
        </is>
      </c>
      <c r="B64" t="inlineStr">
        <is>
          <t>Étagère</t>
        </is>
      </c>
      <c r="C64" t="n">
        <v>762</v>
      </c>
      <c r="D64" t="n">
        <v>330</v>
      </c>
      <c r="E64" t="n">
        <v>1</v>
      </c>
      <c r="F64" t="inlineStr">
        <is>
          <t>EGGER W980 ST2 Blanc platine</t>
        </is>
      </c>
      <c r="G64">
        <f>IF(0=1,2*(C64+D64)*E64/1000,0)</f>
        <v/>
      </c>
      <c r="H64">
        <f>IF(1=1,C64*E64/1000,0)</f>
        <v/>
      </c>
      <c r="I64">
        <f>C64*D64*E64/1000000</f>
        <v/>
      </c>
    </row>
    <row r="65">
      <c r="A65" t="inlineStr">
        <is>
          <t>H1</t>
        </is>
      </c>
      <c r="B65" t="inlineStr">
        <is>
          <t>Fond HDF</t>
        </is>
      </c>
      <c r="C65" t="n">
        <v>716</v>
      </c>
      <c r="D65" t="n">
        <v>796</v>
      </c>
      <c r="E65" t="n">
        <v>1</v>
      </c>
      <c r="F65" t="inlineStr">
        <is>
          <t>Fond HDF blanc 3 mm</t>
        </is>
      </c>
      <c r="G65">
        <f>IF(0=1,2*(C65+D65)*E65/1000,0)</f>
        <v/>
      </c>
      <c r="H65">
        <f>IF(0=1,C65*E65/1000,0)</f>
        <v/>
      </c>
      <c r="I65">
        <f>C65*D65*E65/1000000</f>
        <v/>
      </c>
    </row>
    <row r="66">
      <c r="A66" t="inlineStr">
        <is>
          <t>H1</t>
        </is>
      </c>
      <c r="B66" t="inlineStr">
        <is>
          <t>Porte</t>
        </is>
      </c>
      <c r="C66" t="n">
        <v>397</v>
      </c>
      <c r="D66" t="n">
        <v>717</v>
      </c>
      <c r="E66" t="n">
        <v>2</v>
      </c>
      <c r="F66" t="inlineStr">
        <is>
          <t>EGGER H1145 ST10 Chêne Bardolino naturel</t>
        </is>
      </c>
      <c r="G66">
        <f>IF(1=1,2*(C66+D66)*E66/1000,0)</f>
        <v/>
      </c>
      <c r="H66">
        <f>IF(0=1,C66*E66/1000,0)</f>
        <v/>
      </c>
      <c r="I66">
        <f>C66*D66*E66/1000000</f>
        <v/>
      </c>
    </row>
    <row r="67">
      <c r="A67" t="inlineStr">
        <is>
          <t>H2</t>
        </is>
      </c>
      <c r="B67" t="inlineStr">
        <is>
          <t>Côté</t>
        </is>
      </c>
      <c r="C67" t="n">
        <v>720</v>
      </c>
      <c r="D67" t="n">
        <v>350</v>
      </c>
      <c r="E67" t="n">
        <v>2</v>
      </c>
      <c r="F67" t="inlineStr">
        <is>
          <t>EGGER W980 ST2 Blanc platine</t>
        </is>
      </c>
      <c r="G67">
        <f>IF(0=1,2*(C67+D67)*E67/1000,0)</f>
        <v/>
      </c>
      <c r="H67">
        <f>IF(1=1,C67*E67/1000,0)</f>
        <v/>
      </c>
      <c r="I67">
        <f>C67*D67*E67/1000000</f>
        <v/>
      </c>
    </row>
    <row r="68">
      <c r="A68" t="inlineStr">
        <is>
          <t>H2</t>
        </is>
      </c>
      <c r="B68" t="inlineStr">
        <is>
          <t>Fond bas</t>
        </is>
      </c>
      <c r="C68" t="n">
        <v>764</v>
      </c>
      <c r="D68" t="n">
        <v>350</v>
      </c>
      <c r="E68" t="n">
        <v>1</v>
      </c>
      <c r="F68" t="inlineStr">
        <is>
          <t>EGGER W980 ST2 Blanc platine</t>
        </is>
      </c>
      <c r="G68">
        <f>IF(0=1,2*(C68+D68)*E68/1000,0)</f>
        <v/>
      </c>
      <c r="H68">
        <f>IF(1=1,C68*E68/1000,0)</f>
        <v/>
      </c>
      <c r="I68">
        <f>C68*D68*E68/1000000</f>
        <v/>
      </c>
    </row>
    <row r="69">
      <c r="A69" t="inlineStr">
        <is>
          <t>H2</t>
        </is>
      </c>
      <c r="B69" t="inlineStr">
        <is>
          <t>Dessus</t>
        </is>
      </c>
      <c r="C69" t="n">
        <v>764</v>
      </c>
      <c r="D69" t="n">
        <v>350</v>
      </c>
      <c r="E69" t="n">
        <v>1</v>
      </c>
      <c r="F69" t="inlineStr">
        <is>
          <t>EGGER W980 ST2 Blanc platine</t>
        </is>
      </c>
      <c r="G69">
        <f>IF(0=1,2*(C69+D69)*E69/1000,0)</f>
        <v/>
      </c>
      <c r="H69">
        <f>IF(1=1,C69*E69/1000,0)</f>
        <v/>
      </c>
      <c r="I69">
        <f>C69*D69*E69/1000000</f>
        <v/>
      </c>
    </row>
    <row r="70">
      <c r="A70" t="inlineStr">
        <is>
          <t>H2</t>
        </is>
      </c>
      <c r="B70" t="inlineStr">
        <is>
          <t>Étagère</t>
        </is>
      </c>
      <c r="C70" t="n">
        <v>762</v>
      </c>
      <c r="D70" t="n">
        <v>330</v>
      </c>
      <c r="E70" t="n">
        <v>1</v>
      </c>
      <c r="F70" t="inlineStr">
        <is>
          <t>EGGER W980 ST2 Blanc platine</t>
        </is>
      </c>
      <c r="G70">
        <f>IF(0=1,2*(C70+D70)*E70/1000,0)</f>
        <v/>
      </c>
      <c r="H70">
        <f>IF(1=1,C70*E70/1000,0)</f>
        <v/>
      </c>
      <c r="I70">
        <f>C70*D70*E70/1000000</f>
        <v/>
      </c>
    </row>
    <row r="71">
      <c r="A71" t="inlineStr">
        <is>
          <t>H2</t>
        </is>
      </c>
      <c r="B71" t="inlineStr">
        <is>
          <t>Fond HDF</t>
        </is>
      </c>
      <c r="C71" t="n">
        <v>716</v>
      </c>
      <c r="D71" t="n">
        <v>796</v>
      </c>
      <c r="E71" t="n">
        <v>1</v>
      </c>
      <c r="F71" t="inlineStr">
        <is>
          <t>Fond HDF blanc 3 mm</t>
        </is>
      </c>
      <c r="G71">
        <f>IF(0=1,2*(C71+D71)*E71/1000,0)</f>
        <v/>
      </c>
      <c r="H71">
        <f>IF(0=1,C71*E71/1000,0)</f>
        <v/>
      </c>
      <c r="I71">
        <f>C71*D71*E71/1000000</f>
        <v/>
      </c>
    </row>
    <row r="72">
      <c r="A72" t="inlineStr">
        <is>
          <t>H2</t>
        </is>
      </c>
      <c r="B72" t="inlineStr">
        <is>
          <t>Porte</t>
        </is>
      </c>
      <c r="C72" t="n">
        <v>397</v>
      </c>
      <c r="D72" t="n">
        <v>717</v>
      </c>
      <c r="E72" t="n">
        <v>2</v>
      </c>
      <c r="F72" t="inlineStr">
        <is>
          <t>EGGER H1145 ST10 Chêne Bardolino naturel</t>
        </is>
      </c>
      <c r="G72">
        <f>IF(1=1,2*(C72+D72)*E72/1000,0)</f>
        <v/>
      </c>
      <c r="H72">
        <f>IF(0=1,C72*E72/1000,0)</f>
        <v/>
      </c>
      <c r="I72">
        <f>C72*D72*E72/1000000</f>
        <v/>
      </c>
    </row>
    <row r="73">
      <c r="A73" t="inlineStr">
        <is>
          <t>H3</t>
        </is>
      </c>
      <c r="B73" t="inlineStr">
        <is>
          <t>Côté</t>
        </is>
      </c>
      <c r="C73" t="n">
        <v>720</v>
      </c>
      <c r="D73" t="n">
        <v>350</v>
      </c>
      <c r="E73" t="n">
        <v>2</v>
      </c>
      <c r="F73" t="inlineStr">
        <is>
          <t>EGGER W980 ST2 Blanc platine</t>
        </is>
      </c>
      <c r="G73">
        <f>IF(0=1,2*(C73+D73)*E73/1000,0)</f>
        <v/>
      </c>
      <c r="H73">
        <f>IF(1=1,C73*E73/1000,0)</f>
        <v/>
      </c>
      <c r="I73">
        <f>C73*D73*E73/1000000</f>
        <v/>
      </c>
    </row>
    <row r="74">
      <c r="A74" t="inlineStr">
        <is>
          <t>H3</t>
        </is>
      </c>
      <c r="B74" t="inlineStr">
        <is>
          <t>Fond bas</t>
        </is>
      </c>
      <c r="C74" t="n">
        <v>664</v>
      </c>
      <c r="D74" t="n">
        <v>350</v>
      </c>
      <c r="E74" t="n">
        <v>1</v>
      </c>
      <c r="F74" t="inlineStr">
        <is>
          <t>EGGER W980 ST2 Blanc platine</t>
        </is>
      </c>
      <c r="G74">
        <f>IF(0=1,2*(C74+D74)*E74/1000,0)</f>
        <v/>
      </c>
      <c r="H74">
        <f>IF(1=1,C74*E74/1000,0)</f>
        <v/>
      </c>
      <c r="I74">
        <f>C74*D74*E74/1000000</f>
        <v/>
      </c>
    </row>
    <row r="75">
      <c r="A75" t="inlineStr">
        <is>
          <t>H3</t>
        </is>
      </c>
      <c r="B75" t="inlineStr">
        <is>
          <t>Dessus</t>
        </is>
      </c>
      <c r="C75" t="n">
        <v>664</v>
      </c>
      <c r="D75" t="n">
        <v>350</v>
      </c>
      <c r="E75" t="n">
        <v>1</v>
      </c>
      <c r="F75" t="inlineStr">
        <is>
          <t>EGGER W980 ST2 Blanc platine</t>
        </is>
      </c>
      <c r="G75">
        <f>IF(0=1,2*(C75+D75)*E75/1000,0)</f>
        <v/>
      </c>
      <c r="H75">
        <f>IF(1=1,C75*E75/1000,0)</f>
        <v/>
      </c>
      <c r="I75">
        <f>C75*D75*E75/1000000</f>
        <v/>
      </c>
    </row>
    <row r="76">
      <c r="A76" t="inlineStr">
        <is>
          <t>H3</t>
        </is>
      </c>
      <c r="B76" t="inlineStr">
        <is>
          <t>Étagère</t>
        </is>
      </c>
      <c r="C76" t="n">
        <v>662</v>
      </c>
      <c r="D76" t="n">
        <v>330</v>
      </c>
      <c r="E76" t="n">
        <v>1</v>
      </c>
      <c r="F76" t="inlineStr">
        <is>
          <t>EGGER W980 ST2 Blanc platine</t>
        </is>
      </c>
      <c r="G76">
        <f>IF(0=1,2*(C76+D76)*E76/1000,0)</f>
        <v/>
      </c>
      <c r="H76">
        <f>IF(1=1,C76*E76/1000,0)</f>
        <v/>
      </c>
      <c r="I76">
        <f>C76*D76*E76/1000000</f>
        <v/>
      </c>
    </row>
    <row r="77">
      <c r="A77" t="inlineStr">
        <is>
          <t>H3</t>
        </is>
      </c>
      <c r="B77" t="inlineStr">
        <is>
          <t>Fond HDF</t>
        </is>
      </c>
      <c r="C77" t="n">
        <v>716</v>
      </c>
      <c r="D77" t="n">
        <v>696</v>
      </c>
      <c r="E77" t="n">
        <v>1</v>
      </c>
      <c r="F77" t="inlineStr">
        <is>
          <t>Fond HDF blanc 3 mm</t>
        </is>
      </c>
      <c r="G77">
        <f>IF(0=1,2*(C77+D77)*E77/1000,0)</f>
        <v/>
      </c>
      <c r="H77">
        <f>IF(0=1,C77*E77/1000,0)</f>
        <v/>
      </c>
      <c r="I77">
        <f>C77*D77*E77/1000000</f>
        <v/>
      </c>
    </row>
    <row r="78">
      <c r="A78" t="inlineStr">
        <is>
          <t>H3</t>
        </is>
      </c>
      <c r="B78" t="inlineStr">
        <is>
          <t>Porte</t>
        </is>
      </c>
      <c r="C78" t="n">
        <v>347</v>
      </c>
      <c r="D78" t="n">
        <v>717</v>
      </c>
      <c r="E78" t="n">
        <v>2</v>
      </c>
      <c r="F78" t="inlineStr">
        <is>
          <t>EGGER H1145 ST10 Chêne Bardolino naturel</t>
        </is>
      </c>
      <c r="G78">
        <f>IF(1=1,2*(C78+D78)*E78/1000,0)</f>
        <v/>
      </c>
      <c r="H78">
        <f>IF(0=1,C78*E78/1000,0)</f>
        <v/>
      </c>
      <c r="I78">
        <f>C78*D78*E78/1000000</f>
        <v/>
      </c>
    </row>
    <row r="79">
      <c r="A79" t="inlineStr">
        <is>
          <t>FIN</t>
        </is>
      </c>
      <c r="B79" t="inlineStr">
        <is>
          <t>Joue de finition colonne</t>
        </is>
      </c>
      <c r="C79" t="n">
        <v>2400</v>
      </c>
      <c r="D79" t="n">
        <v>620</v>
      </c>
      <c r="E79" t="n">
        <v>1</v>
      </c>
      <c r="F79" t="inlineStr">
        <is>
          <t>EGGER H1145 ST10 Chêne Bardolino naturel</t>
        </is>
      </c>
      <c r="G79">
        <f>IF(1=1,2*(C79+D79)*E79/1000,0)</f>
        <v/>
      </c>
      <c r="H79">
        <f>IF(0=1,C79*E79/1000,0)</f>
        <v/>
      </c>
      <c r="I79">
        <f>C79*D79*E79/1000000</f>
        <v/>
      </c>
    </row>
    <row r="80">
      <c r="A80" t="inlineStr">
        <is>
          <t>FIN</t>
        </is>
      </c>
      <c r="B80" t="inlineStr">
        <is>
          <t>Joue de finition bas (côté porte-fenêtre)</t>
        </is>
      </c>
      <c r="C80" t="n">
        <v>870</v>
      </c>
      <c r="D80" t="n">
        <v>600</v>
      </c>
      <c r="E80" t="n">
        <v>1</v>
      </c>
      <c r="F80" t="inlineStr">
        <is>
          <t>EGGER U999 PM Noir mat PerfectSense</t>
        </is>
      </c>
      <c r="G80">
        <f>IF(1=1,2*(C80+D80)*E80/1000,0)</f>
        <v/>
      </c>
      <c r="H80">
        <f>IF(0=1,C80*E80/1000,0)</f>
        <v/>
      </c>
      <c r="I80">
        <f>C80*D80*E80/1000000</f>
        <v/>
      </c>
    </row>
    <row r="81">
      <c r="A81" t="inlineStr">
        <is>
          <t>FIN</t>
        </is>
      </c>
      <c r="B81" t="inlineStr">
        <is>
          <t>Bandeau de rattrapage haut colonnes</t>
        </is>
      </c>
      <c r="C81" t="n">
        <v>2100</v>
      </c>
      <c r="D81" t="n">
        <v>297</v>
      </c>
      <c r="E81" t="n">
        <v>1</v>
      </c>
      <c r="F81" t="inlineStr">
        <is>
          <t>EGGER H1145 ST10 Chêne Bardolino naturel</t>
        </is>
      </c>
      <c r="G81">
        <f>IF(1=1,2*(C81+D81)*E81/1000,0)</f>
        <v/>
      </c>
      <c r="H81">
        <f>IF(0=1,C81*E81/1000,0)</f>
        <v/>
      </c>
      <c r="I81">
        <f>C81*D81*E81/1000000</f>
        <v/>
      </c>
    </row>
    <row r="82">
      <c r="A82" t="inlineStr">
        <is>
          <t>FIN</t>
        </is>
      </c>
      <c r="B82" t="inlineStr">
        <is>
          <t>Plinthe (2 morceaux)</t>
        </is>
      </c>
      <c r="C82" t="n">
        <v>1700</v>
      </c>
      <c r="D82" t="n">
        <v>100</v>
      </c>
      <c r="E82" t="n">
        <v>2</v>
      </c>
      <c r="F82" t="inlineStr">
        <is>
          <t>EGGER U999 PM Noir mat PerfectSense</t>
        </is>
      </c>
      <c r="G82">
        <f>IF(1=1,2*(C82+D82)*E82/1000,0)</f>
        <v/>
      </c>
      <c r="H82">
        <f>IF(0=1,C82*E82/1000,0)</f>
        <v/>
      </c>
      <c r="I82">
        <f>C82*D82*E82/1000000</f>
        <v/>
      </c>
    </row>
    <row r="83">
      <c r="A83" t="inlineStr">
        <is>
          <t>FIN</t>
        </is>
      </c>
      <c r="B83" t="inlineStr">
        <is>
          <t>Plinthe colonnes</t>
        </is>
      </c>
      <c r="C83" t="n">
        <v>2100</v>
      </c>
      <c r="D83" t="n">
        <v>100</v>
      </c>
      <c r="E83" t="n">
        <v>1</v>
      </c>
      <c r="F83" t="inlineStr">
        <is>
          <t>EGGER H1145 ST10 Chêne Bardolino naturel</t>
        </is>
      </c>
      <c r="G83">
        <f>IF(1=1,2*(C83+D83)*E83/1000,0)</f>
        <v/>
      </c>
      <c r="H83">
        <f>IF(0=1,C83*E83/1000,0)</f>
        <v/>
      </c>
      <c r="I83">
        <f>C83*D83*E83/1000000</f>
        <v/>
      </c>
    </row>
    <row r="84">
      <c r="A84" s="3" t="inlineStr">
        <is>
          <t>TOTAL</t>
        </is>
      </c>
      <c r="B84" s="3" t="inlineStr"/>
      <c r="C84" s="3" t="inlineStr"/>
      <c r="D84" s="3" t="inlineStr"/>
      <c r="E84" s="3">
        <f>SUM(E4:E83)</f>
        <v/>
      </c>
      <c r="F84" s="3" t="inlineStr"/>
      <c r="G84" s="3">
        <f>SUM(G4:G83)</f>
        <v/>
      </c>
      <c r="H84" s="3">
        <f>SUM(H4:H83)</f>
        <v/>
      </c>
      <c r="I84" s="3">
        <f>SUM(I4:I83)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9" customWidth="1" min="3" max="3"/>
    <col width="18" customWidth="1" min="4" max="4"/>
    <col width="16" customWidth="1" min="5" max="5"/>
  </cols>
  <sheetData>
    <row r="1">
      <c r="A1" s="1" t="inlineStr">
        <is>
          <t>Chiffrage estimatif · prix en DA · cellules JAUNES = vos prix à confirmer</t>
        </is>
      </c>
    </row>
    <row r="3">
      <c r="A3" s="2" t="inlineStr">
        <is>
          <t>Poste</t>
        </is>
      </c>
      <c r="B3" s="2" t="inlineStr">
        <is>
          <t>Quantité</t>
        </is>
      </c>
      <c r="C3" s="2" t="inlineStr">
        <is>
          <t>Unité</t>
        </is>
      </c>
      <c r="D3" s="2" t="inlineStr">
        <is>
          <t>Prix unitaire (DA)</t>
        </is>
      </c>
      <c r="E3" s="2" t="inlineStr">
        <is>
          <t>Total (DA)</t>
        </is>
      </c>
    </row>
    <row r="4">
      <c r="A4" t="inlineStr">
        <is>
          <t>EGGER H1145 ST10 Chêne Bardolino naturel 18 mm (2800×2070)</t>
        </is>
      </c>
      <c r="B4" t="n">
        <v>2</v>
      </c>
      <c r="C4" t="inlineStr">
        <is>
          <t>feuille</t>
        </is>
      </c>
      <c r="D4" s="4" t="n">
        <v>16000</v>
      </c>
      <c r="E4" s="5">
        <f>B4*D4</f>
        <v/>
      </c>
    </row>
    <row r="5">
      <c r="A5" t="inlineStr">
        <is>
          <t>EGGER U999 PM Noir mat PerfectSense 18 mm (2800×2070)</t>
        </is>
      </c>
      <c r="B5" t="n">
        <v>2</v>
      </c>
      <c r="C5" t="inlineStr">
        <is>
          <t>feuille</t>
        </is>
      </c>
      <c r="D5" s="4" t="n">
        <v>18000</v>
      </c>
      <c r="E5" s="5">
        <f>B5*D5</f>
        <v/>
      </c>
    </row>
    <row r="6">
      <c r="A6" t="inlineStr">
        <is>
          <t>EGGER W980 ST2 Blanc platine 18 mm (caissons) (2800×2070)</t>
        </is>
      </c>
      <c r="B6" t="n">
        <v>5</v>
      </c>
      <c r="C6" t="inlineStr">
        <is>
          <t>feuille</t>
        </is>
      </c>
      <c r="D6" s="4" t="n">
        <v>12000</v>
      </c>
      <c r="E6" s="5">
        <f>B6*D6</f>
        <v/>
      </c>
    </row>
    <row r="7">
      <c r="A7" t="inlineStr">
        <is>
          <t>Fond HDF blanc 3 mm (2800×2070)</t>
        </is>
      </c>
      <c r="B7" t="n">
        <v>3</v>
      </c>
      <c r="C7" t="inlineStr">
        <is>
          <t>feuille</t>
        </is>
      </c>
      <c r="D7" s="4" t="n">
        <v>2500</v>
      </c>
      <c r="E7" s="5">
        <f>B7*D7</f>
        <v/>
      </c>
    </row>
    <row r="8">
      <c r="A8" t="inlineStr">
        <is>
          <t>Plan de travail EGGER 4100x600x38 (F812 marbre blanc)</t>
        </is>
      </c>
      <c r="B8" t="n">
        <v>1</v>
      </c>
      <c r="C8" t="inlineStr">
        <is>
          <t>U</t>
        </is>
      </c>
      <c r="D8" s="4" t="n">
        <v>22000</v>
      </c>
      <c r="E8" s="5">
        <f>B8*D8</f>
        <v/>
      </c>
    </row>
    <row r="9">
      <c r="A9" t="inlineStr">
        <is>
          <t>Crédence stratifiée assortie</t>
        </is>
      </c>
      <c r="B9" t="n">
        <v>2.8</v>
      </c>
      <c r="C9" t="inlineStr">
        <is>
          <t>ml</t>
        </is>
      </c>
      <c r="D9" s="4" t="n">
        <v>6000</v>
      </c>
      <c r="E9" s="5">
        <f>B9*D9</f>
        <v/>
      </c>
    </row>
    <row r="10">
      <c r="A10" t="inlineStr">
        <is>
          <t>Chant ABS 2 mm façades</t>
        </is>
      </c>
      <c r="B10">
        <f>ROUNDUP('Liste de coupe'!G84*1.1,0)</f>
        <v/>
      </c>
      <c r="C10" t="inlineStr">
        <is>
          <t>ml</t>
        </is>
      </c>
      <c r="D10" s="4" t="n">
        <v>150</v>
      </c>
      <c r="E10" s="5">
        <f>B10*D10</f>
        <v/>
      </c>
    </row>
    <row r="11">
      <c r="A11" t="inlineStr">
        <is>
          <t>Chant ABS 1 mm caissons</t>
        </is>
      </c>
      <c r="B11">
        <f>ROUNDUP('Liste de coupe'!H84*1.1,0)</f>
        <v/>
      </c>
      <c r="C11" t="inlineStr">
        <is>
          <t>ml</t>
        </is>
      </c>
      <c r="D11" s="4" t="n">
        <v>60</v>
      </c>
      <c r="E11" s="5">
        <f>B11*D11</f>
        <v/>
      </c>
    </row>
    <row r="12">
      <c r="A12" t="inlineStr">
        <is>
          <t>Charnière à amortisseur</t>
        </is>
      </c>
      <c r="B12" t="n">
        <v>38</v>
      </c>
      <c r="C12" t="inlineStr">
        <is>
          <t>U</t>
        </is>
      </c>
      <c r="D12" s="4" t="n">
        <v>450</v>
      </c>
      <c r="E12" s="5">
        <f>B12*D12</f>
        <v/>
      </c>
    </row>
    <row r="13">
      <c r="A13" t="inlineStr">
        <is>
          <t>Coulisses tiroir double paroi</t>
        </is>
      </c>
      <c r="B13" t="n">
        <v>7</v>
      </c>
      <c r="C13" t="inlineStr">
        <is>
          <t>paire</t>
        </is>
      </c>
      <c r="D13" s="4" t="n">
        <v>4500</v>
      </c>
      <c r="E13" s="5">
        <f>B13*D13</f>
        <v/>
      </c>
    </row>
    <row r="14">
      <c r="A14" t="inlineStr">
        <is>
          <t>Pied réglable</t>
        </is>
      </c>
      <c r="B14" t="n">
        <v>32</v>
      </c>
      <c r="C14" t="inlineStr">
        <is>
          <t>U</t>
        </is>
      </c>
      <c r="D14" s="4" t="n">
        <v>120</v>
      </c>
      <c r="E14" s="5">
        <f>B14*D14</f>
        <v/>
      </c>
    </row>
    <row r="15">
      <c r="A15" t="inlineStr">
        <is>
          <t>Profil gola alu noir</t>
        </is>
      </c>
      <c r="B15" t="n">
        <v>5.6</v>
      </c>
      <c r="C15" t="inlineStr">
        <is>
          <t>ml</t>
        </is>
      </c>
      <c r="D15" s="4" t="n">
        <v>2500</v>
      </c>
      <c r="E15" s="5">
        <f>B15*D15</f>
        <v/>
      </c>
    </row>
    <row r="16">
      <c r="A16" t="inlineStr">
        <is>
          <t>Ruban LED + driver (sous meubles hauts + niche)</t>
        </is>
      </c>
      <c r="B16" t="n">
        <v>4</v>
      </c>
      <c r="C16" t="inlineStr">
        <is>
          <t>ml</t>
        </is>
      </c>
      <c r="D16" s="4" t="n">
        <v>1800</v>
      </c>
      <c r="E16" s="5">
        <f>B16*D16</f>
        <v/>
      </c>
    </row>
    <row r="17">
      <c r="A17" t="inlineStr">
        <is>
          <t>Grille d'aération alu noir (chauffe-eau)</t>
        </is>
      </c>
      <c r="B17" t="n">
        <v>2</v>
      </c>
      <c r="C17" t="inlineStr">
        <is>
          <t>U</t>
        </is>
      </c>
      <c r="D17" s="4" t="n">
        <v>900</v>
      </c>
      <c r="E17" s="5">
        <f>B17*D17</f>
        <v/>
      </c>
    </row>
    <row r="18">
      <c r="A18" t="inlineStr">
        <is>
          <t>Visserie, tourillons, colle</t>
        </is>
      </c>
      <c r="B18" t="n">
        <v>1</v>
      </c>
      <c r="C18" t="inlineStr">
        <is>
          <t>forfait</t>
        </is>
      </c>
      <c r="D18" s="4" t="n">
        <v>6000</v>
      </c>
      <c r="E18" s="5">
        <f>B18*D18</f>
        <v/>
      </c>
    </row>
    <row r="19">
      <c r="A19" t="inlineStr">
        <is>
          <t>Fabrication + pose</t>
        </is>
      </c>
      <c r="B19" t="n">
        <v>4.9</v>
      </c>
      <c r="C19" t="inlineStr">
        <is>
          <t>ml</t>
        </is>
      </c>
      <c r="D19" s="4" t="n">
        <v>18000</v>
      </c>
      <c r="E19" s="5">
        <f>B19*D19</f>
        <v/>
      </c>
    </row>
    <row r="20">
      <c r="A20" s="3" t="inlineStr">
        <is>
          <t>TOTAL CUISINE (hors électroménager)</t>
        </is>
      </c>
      <c r="B20" s="3" t="inlineStr"/>
      <c r="C20" s="3" t="inlineStr"/>
      <c r="D20" s="6" t="inlineStr"/>
      <c r="E20" s="6">
        <f>SUM(E4:E19)</f>
        <v/>
      </c>
    </row>
    <row r="21">
      <c r="D21" s="5" t="n"/>
      <c r="E21" s="5" t="n"/>
    </row>
    <row r="22">
      <c r="A22" t="inlineStr">
        <is>
          <t>En option : sol Chêne Melba beige Aqua EL2416, environ 9 m² de pièce (5 cartons = 9,95 m²) + sous-couche + plinthes : chiffrer avec le modèle de devis habituel.</t>
        </is>
      </c>
      <c r="D22" s="5" t="n"/>
      <c r="E22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t="inlineStr">
        <is>
          <t>Mur A (évier + chauffe-eau)</t>
        </is>
      </c>
      <c r="B1" t="inlineStr">
        <is>
          <t>≈ 3,40 m</t>
        </is>
      </c>
    </row>
    <row r="2">
      <c r="A2" t="inlineStr">
        <is>
          <t>Mur B (fond, colonnes)</t>
        </is>
      </c>
      <c r="B2" t="inlineStr">
        <is>
          <t>≈ 2,10 m</t>
        </is>
      </c>
    </row>
    <row r="3">
      <c r="A3" t="inlineStr">
        <is>
          <t>Hauteur sous plafond</t>
        </is>
      </c>
      <c r="B3" t="inlineStr">
        <is>
          <t>≈ 2,80 m (retombée de poutre près de l'entrée)</t>
        </is>
      </c>
    </row>
    <row r="4">
      <c r="A4" t="inlineStr">
        <is>
          <t>Repères utilisés</t>
        </is>
      </c>
      <c r="B4" t="inlineStr">
        <is>
          <t>carreaux muraux ≈ 20×20 cm, frise à ≈ 1,60 m, porte ≈ 0,80 m, porte-fenêtre ≈ 1,20 m, machine à laver 60 cm</t>
        </is>
      </c>
    </row>
    <row r="5">
      <c r="A5" t="inlineStr">
        <is>
          <t>Panneaux</t>
        </is>
      </c>
      <c r="B5" t="inlineStr">
        <is>
          <t>EGGER 2800×2070 mm, 18 mm, trait de scie 4 mm, rognage 10 mm</t>
        </is>
      </c>
    </row>
    <row r="6">
      <c r="A6" t="inlineStr">
        <is>
          <t>À mesurer sur place</t>
        </is>
      </c>
      <c r="B6" t="inlineStr">
        <is>
          <t>chaque mur au sol et à 1 m, hauteur, position évier / chauffe-eau / prises / arrivée gaz, faux aplombs</t>
        </is>
      </c>
    </row>
    <row r="7">
      <c r="A7" t="inlineStr">
        <is>
          <t>Sécurité</t>
        </is>
      </c>
      <c r="B7" t="inlineStr">
        <is>
          <t>chauffe-eau gaz : caisson ventilé haut et bas, conduit libre, accès au robinet de gaz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2026-10-11T16:29:47Z</dcterms:created>
  <dcterms:modified xsi:type="dcterms:W3CDTF">2026-10-11T16:29:47Z</dcterms:modified>
</cp:coreProperties>
</file>